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ulik\OneDrive\Documents\HEC 2023-2024\Prog finance\"/>
    </mc:Choice>
  </mc:AlternateContent>
  <xr:revisionPtr revIDLastSave="0" documentId="13_ncr:1_{16D2AEEF-6C3F-4B68-9D28-D0AB46AC0D5A}" xr6:coauthVersionLast="47" xr6:coauthVersionMax="47" xr10:uidLastSave="{00000000-0000-0000-0000-000000000000}"/>
  <bookViews>
    <workbookView xWindow="8772" yWindow="576" windowWidth="13152" windowHeight="11232" xr2:uid="{00000000-000D-0000-FFFF-FFFF00000000}"/>
  </bookViews>
  <sheets>
    <sheet name="Présentation" sheetId="3" r:id="rId1"/>
    <sheet name="y0" sheetId="1" r:id="rId2"/>
    <sheet name="n" sheetId="2" r:id="rId3"/>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3" i="1" l="1" a="1"/>
  <c r="E50" i="1" a="1"/>
  <c r="E16" i="2" a="1"/>
  <c r="W11" i="2" a="1"/>
  <c r="W15" i="1" a="1"/>
  <c r="N14" i="1" a="1"/>
  <c r="W12" i="1" a="1"/>
  <c r="E13" i="2" a="1"/>
  <c r="E48" i="1" a="1"/>
  <c r="W14" i="2" a="1"/>
  <c r="E12" i="2" a="1"/>
  <c r="N12" i="2" a="1"/>
  <c r="W16" i="1" a="1"/>
  <c r="N15" i="1" a="1"/>
  <c r="N17" i="1" a="1"/>
  <c r="W12" i="2" a="1"/>
  <c r="N16" i="1" a="1"/>
  <c r="W17" i="2" a="1"/>
  <c r="E46" i="1" a="1"/>
  <c r="W15" i="2" a="1"/>
  <c r="E17" i="2" a="1"/>
  <c r="N17" i="2" a="1"/>
  <c r="W17" i="1" a="1"/>
  <c r="W19" i="1" a="1"/>
  <c r="N18" i="1" a="1"/>
  <c r="W14" i="1" a="1"/>
  <c r="E51" i="1" a="1"/>
  <c r="N14" i="2" a="1"/>
  <c r="E11" i="2" a="1"/>
  <c r="N16" i="2" a="1"/>
  <c r="W18" i="1" a="1"/>
  <c r="N13" i="1" a="1"/>
  <c r="N13" i="2" a="1"/>
  <c r="W11" i="1" a="1"/>
  <c r="N12" i="1" a="1"/>
  <c r="E49" i="1" a="1"/>
  <c r="N15" i="2" a="1"/>
  <c r="E47" i="1" a="1"/>
  <c r="E14" i="2" a="1"/>
  <c r="W16" i="2" a="1"/>
  <c r="N11" i="2" a="1"/>
  <c r="W13" i="1" a="1"/>
  <c r="N19" i="1" a="1"/>
  <c r="E45" i="1" a="1"/>
  <c r="E15" i="2" a="1"/>
  <c r="W13" i="2" a="1"/>
  <c r="E44" i="1" a="1"/>
  <c r="N11" i="1" a="1"/>
  <c r="E12" i="1" a="1"/>
  <c r="E18" i="1" a="1"/>
  <c r="E15" i="1" a="1"/>
  <c r="E11" i="1" a="1"/>
  <c r="E16" i="1" a="1"/>
  <c r="E19" i="1" a="1"/>
  <c r="E14" i="1" a="1"/>
  <c r="E17" i="1" a="1"/>
  <c r="E13" i="1" a="1"/>
  <c r="E13" i="1" l="1"/>
  <c r="E17" i="1"/>
  <c r="E14" i="1"/>
  <c r="E19" i="1"/>
  <c r="E16" i="1"/>
  <c r="E11" i="1"/>
  <c r="E15" i="1"/>
  <c r="E18" i="1"/>
  <c r="E12" i="1"/>
  <c r="N11" i="1"/>
  <c r="E44" i="1"/>
  <c r="W13" i="2"/>
  <c r="E15" i="2"/>
  <c r="E45" i="1"/>
  <c r="N19" i="1"/>
  <c r="W13" i="1"/>
  <c r="N11" i="2"/>
  <c r="W16" i="2"/>
  <c r="E14" i="2"/>
  <c r="E47" i="1"/>
  <c r="N15" i="2"/>
  <c r="E49" i="1"/>
  <c r="N12" i="1"/>
  <c r="W11" i="1"/>
  <c r="N13" i="2"/>
  <c r="N13" i="1"/>
  <c r="W18" i="1"/>
  <c r="N16" i="2"/>
  <c r="E11" i="2"/>
  <c r="N14" i="2"/>
  <c r="E51" i="1"/>
  <c r="W14" i="1"/>
  <c r="N18" i="1"/>
  <c r="W19" i="1"/>
  <c r="W17" i="1"/>
  <c r="N17" i="2"/>
  <c r="E17" i="2"/>
  <c r="W15" i="2"/>
  <c r="E46" i="1"/>
  <c r="W17" i="2"/>
  <c r="N16" i="1"/>
  <c r="W12" i="2"/>
  <c r="N17" i="1"/>
  <c r="N15" i="1"/>
  <c r="W16" i="1"/>
  <c r="N12" i="2"/>
  <c r="E12" i="2"/>
  <c r="W14" i="2"/>
  <c r="E48" i="1"/>
  <c r="E13" i="2"/>
  <c r="W12" i="1"/>
  <c r="N14" i="1"/>
  <c r="W15" i="1"/>
  <c r="W11" i="2"/>
  <c r="E16" i="2"/>
  <c r="E50" i="1"/>
  <c r="E4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<sst xmlns="http://schemas.openxmlformats.org/spreadsheetml/2006/main" count="77" uniqueCount="30">
  <si>
    <t>Équation 1</t>
  </si>
  <si>
    <t>Système d'équations 1</t>
  </si>
  <si>
    <t>Équation 2</t>
  </si>
  <si>
    <t>x + 2y = 3</t>
  </si>
  <si>
    <t>n</t>
  </si>
  <si>
    <t>y0</t>
  </si>
  <si>
    <t>x</t>
  </si>
  <si>
    <t>y</t>
  </si>
  <si>
    <t>2x + y = 6</t>
  </si>
  <si>
    <t>6x + 3y = 96</t>
  </si>
  <si>
    <t>2x + 3y = 56</t>
  </si>
  <si>
    <t>5x + 3y = 179</t>
  </si>
  <si>
    <t>7x + 10y = 355</t>
  </si>
  <si>
    <t>Système d'équations 2</t>
  </si>
  <si>
    <t>Système d'équations 3</t>
  </si>
  <si>
    <t>En utilisant plusieurs points de départ  y0 si le nombre d'itérations reste constant (n = 3)</t>
  </si>
  <si>
    <t>En utilisant plusieurs nombres d'itérations n si y0 reste constant (y0 = 10)</t>
  </si>
  <si>
    <t>En utilisant plusieurs points de départ  y0 si le nombre d'itérations reste constant (n = 30)</t>
  </si>
  <si>
    <t>Solution: x=3  y=0</t>
  </si>
  <si>
    <t>Solution: x=10  y=12</t>
  </si>
  <si>
    <t>Solution: x=25  y=18</t>
  </si>
  <si>
    <r>
      <rPr>
        <b/>
        <sz val="16"/>
        <color theme="1"/>
        <rFont val="Calibri"/>
        <family val="2"/>
        <scheme val="minor"/>
      </rPr>
      <t>Conclusion</t>
    </r>
    <r>
      <rPr>
        <sz val="11"/>
        <color theme="1"/>
        <rFont val="Calibri"/>
        <family val="2"/>
        <scheme val="minor"/>
      </rPr>
      <t xml:space="preserve">
Comme il est possible d'observer sur les graphiques, à un petit nombre fixe d'itérations , plus le y0 est proche de la vraie valeur de y dans la solution du système d'équations, meilleure est la qualité de la solution. Cependant, à un grand nombre fixe d'itérations (ex. : Système d'équation 1 avec 30 itérations),  la valeur initiale de y0 semble moins impacter la qualité de la solution.</t>
    </r>
  </si>
  <si>
    <r>
      <rPr>
        <b/>
        <sz val="11"/>
        <color theme="1"/>
        <rFont val="Calibri"/>
        <family val="2"/>
        <scheme val="minor"/>
      </rPr>
      <t>Conclusion</t>
    </r>
    <r>
      <rPr>
        <sz val="11"/>
        <color theme="1"/>
        <rFont val="Calibri"/>
        <family val="2"/>
        <scheme val="minor"/>
      </rPr>
      <t xml:space="preserve">
Comme il est possible d'observer sur les graphiques, plus le nombre d'itérations augemente, plus les valeurs de x et y tendent vers la bonne solution. On se rend compte qu'il ne nécessite pas beaucoup d'itérations afin d'obtenir les bonnes valeurs de x et y du système d'équations, et ce, pour chacune des équations. Cependant,  il est important de considérer que la valeur initiale y0 influence les résultats, car les équations ne présentent pas les mêmes solutions.</t>
    </r>
  </si>
  <si>
    <t>Noms:</t>
  </si>
  <si>
    <t>Alex-Anne</t>
  </si>
  <si>
    <t>Favreau</t>
  </si>
  <si>
    <t>Gabriel</t>
  </si>
  <si>
    <t>Fournier</t>
  </si>
  <si>
    <t>Julia</t>
  </si>
  <si>
    <t>Krumgant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</si>
</sst>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b/>
      <sz val="16"/>
      <color theme="1"/>
      <name val="Calibri"/>
      <family val="2"/>
      <scheme val="minor"/>
    </font>
  </fonts>
  <fills count="6">
    <fill>
      <patternFill patternType="none"/>
    </fill>
    <fill>
      <patternFill patternType="gray125"/>
    </fill>
    <fill>
      <patternFill patternType="solid">
        <fgColor theme="7"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79998168889431442"/>
        <bgColor indexed="64"/>
      </patternFill>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horizontal="right"/>
    </xf>
    <xf numFmtId="0" fontId="1" fillId="0" borderId="0" xfId="0" applyFont="1" applyAlignment="1">
      <alignment horizontal="center"/>
    </xf>
    <xf numFmtId="0" fontId="0" fillId="4" borderId="0" xfId="0" applyFill="1" applyAlignment="1">
      <alignment horizontal="right"/>
    </xf>
    <xf numFmtId="0" fontId="0" fillId="0" borderId="0" xfId="0" applyAlignment="1">
      <alignment horizontal="center" wrapText="1"/>
    </xf>
    <xf numFmtId="0" fontId="0" fillId="2" borderId="0" xfId="0" applyFill="1" applyAlignment="1">
      <alignment horizontal="center" wrapText="1"/>
    </xf>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0" fillId="5" borderId="0" xfId="0" applyFill="1" applyAlignment="1">
      <alignment horizontal="center"/>
    </xf>
    <xf numFmtId="0" fontId="0" fillId="5" borderId="0" xfId="0" applyFill="1" applyAlignment="1">
      <alignment horizontal="center" wrapText="1"/>
    </xf>
    <xf numFmtId="0" fontId="0" fillId="2" borderId="0" xfId="0" applyFill="1" applyAlignment="1">
      <alignment horizontal="center"/>
    </xf>
    <xf numFmtId="0" fontId="0" fillId="3" borderId="0" xfId="0" applyFill="1" applyAlignment="1">
      <alignment horizontal="center"/>
    </xf>
    <xf numFmtId="0" fontId="0" fillId="3" borderId="0" xfId="0" applyFill="1" applyAlignment="1">
      <alignment horizontal="center"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a:t>Valeur</a:t>
            </a:r>
            <a:r>
              <a:rPr lang="fr-CA" baseline="0"/>
              <a:t> de x et y en fonction de la valeur de y0</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y0!$E$10</c:f>
              <c:strCache>
                <c:ptCount val="1"/>
                <c:pt idx="0">
                  <c:v>x</c:v>
                </c:pt>
              </c:strCache>
            </c:strRef>
          </c:tx>
          <c:spPr>
            <a:ln w="28575" cap="rnd">
              <a:solidFill>
                <a:schemeClr val="accent1"/>
              </a:solidFill>
              <a:round/>
            </a:ln>
            <a:effectLst/>
          </c:spPr>
          <c:marker>
            <c:symbol val="none"/>
          </c:marker>
          <c:val>
            <c:numRef>
              <c:f>y0!$E$11:$E$19</c:f>
              <c:numCache>
                <c:formatCode>General</c:formatCode>
                <c:ptCount val="9"/>
                <c:pt idx="0">
                  <c:v>2.0625</c:v>
                </c:pt>
                <c:pt idx="1">
                  <c:v>2.21875</c:v>
                </c:pt>
                <c:pt idx="2">
                  <c:v>2.4375</c:v>
                </c:pt>
                <c:pt idx="3">
                  <c:v>2.625</c:v>
                </c:pt>
                <c:pt idx="4">
                  <c:v>2.84375</c:v>
                </c:pt>
                <c:pt idx="5">
                  <c:v>2.9375</c:v>
                </c:pt>
                <c:pt idx="6">
                  <c:v>2.96875</c:v>
                </c:pt>
                <c:pt idx="7">
                  <c:v>2.984375</c:v>
                </c:pt>
                <c:pt idx="8">
                  <c:v>3</c:v>
                </c:pt>
              </c:numCache>
            </c:numRef>
          </c:val>
          <c:smooth val="0"/>
          <c:extLst>
            <c:ext xmlns:c16="http://schemas.microsoft.com/office/drawing/2014/chart" uri="{C3380CC4-5D6E-409C-BE32-E72D297353CC}">
              <c16:uniqueId val="{00000000-B5DF-44DB-BDD1-F56B1AE7B709}"/>
            </c:ext>
          </c:extLst>
        </c:ser>
        <c:ser>
          <c:idx val="1"/>
          <c:order val="1"/>
          <c:tx>
            <c:strRef>
              <c:f>y0!$F$10</c:f>
              <c:strCache>
                <c:ptCount val="1"/>
                <c:pt idx="0">
                  <c:v>y</c:v>
                </c:pt>
              </c:strCache>
            </c:strRef>
          </c:tx>
          <c:spPr>
            <a:ln w="28575" cap="rnd">
              <a:solidFill>
                <a:schemeClr val="accent2"/>
              </a:solidFill>
              <a:round/>
            </a:ln>
            <a:effectLst/>
          </c:spPr>
          <c:marker>
            <c:symbol val="none"/>
          </c:marker>
          <c:val>
            <c:numRef>
              <c:f>y0!$F$11:$F$19</c:f>
              <c:numCache>
                <c:formatCode>General</c:formatCode>
                <c:ptCount val="9"/>
                <c:pt idx="0">
                  <c:v>0.46875</c:v>
                </c:pt>
                <c:pt idx="1">
                  <c:v>0.390625</c:v>
                </c:pt>
                <c:pt idx="2">
                  <c:v>0.28125</c:v>
                </c:pt>
                <c:pt idx="3">
                  <c:v>0.1875</c:v>
                </c:pt>
                <c:pt idx="4">
                  <c:v>7.8125E-2</c:v>
                </c:pt>
                <c:pt idx="5">
                  <c:v>3.125E-2</c:v>
                </c:pt>
                <c:pt idx="6">
                  <c:v>1.5625E-2</c:v>
                </c:pt>
                <c:pt idx="7">
                  <c:v>7.8125E-3</c:v>
                </c:pt>
                <c:pt idx="8">
                  <c:v>0</c:v>
                </c:pt>
              </c:numCache>
            </c:numRef>
          </c:val>
          <c:smooth val="0"/>
          <c:extLst>
            <c:ext xmlns:c16="http://schemas.microsoft.com/office/drawing/2014/chart" uri="{C3380CC4-5D6E-409C-BE32-E72D297353CC}">
              <c16:uniqueId val="{00000001-B5DF-44DB-BDD1-F56B1AE7B709}"/>
            </c:ext>
          </c:extLst>
        </c:ser>
        <c:dLbls>
          <c:showLegendKey val="0"/>
          <c:showVal val="0"/>
          <c:showCatName val="0"/>
          <c:showSerName val="0"/>
          <c:showPercent val="0"/>
          <c:showBubbleSize val="0"/>
        </c:dLbls>
        <c:smooth val="0"/>
        <c:axId val="729413576"/>
        <c:axId val="729195968"/>
      </c:lineChart>
      <c:catAx>
        <c:axId val="7294135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195968"/>
        <c:crosses val="autoZero"/>
        <c:auto val="1"/>
        <c:lblAlgn val="ctr"/>
        <c:lblOffset val="100"/>
        <c:noMultiLvlLbl val="0"/>
      </c:catAx>
      <c:valAx>
        <c:axId val="729195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413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Valeur de x et y en fonction de la valeur de y0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y0!$N$10</c:f>
              <c:strCache>
                <c:ptCount val="1"/>
                <c:pt idx="0">
                  <c:v>x</c:v>
                </c:pt>
              </c:strCache>
            </c:strRef>
          </c:tx>
          <c:spPr>
            <a:ln w="28575" cap="rnd">
              <a:solidFill>
                <a:schemeClr val="accent1"/>
              </a:solidFill>
              <a:round/>
            </a:ln>
            <a:effectLst/>
          </c:spPr>
          <c:marker>
            <c:symbol val="none"/>
          </c:marker>
          <c:val>
            <c:numRef>
              <c:f>y0!$N$11:$N$19</c:f>
              <c:numCache>
                <c:formatCode>General</c:formatCode>
                <c:ptCount val="9"/>
                <c:pt idx="0">
                  <c:v>9</c:v>
                </c:pt>
                <c:pt idx="1">
                  <c:v>9.2777777777777768</c:v>
                </c:pt>
                <c:pt idx="2">
                  <c:v>9.6666666666666661</c:v>
                </c:pt>
                <c:pt idx="3">
                  <c:v>10</c:v>
                </c:pt>
                <c:pt idx="4">
                  <c:v>10.388888888888888</c:v>
                </c:pt>
                <c:pt idx="5">
                  <c:v>10.555555555555555</c:v>
                </c:pt>
                <c:pt idx="6">
                  <c:v>10.611111111111112</c:v>
                </c:pt>
                <c:pt idx="7">
                  <c:v>10.638888888888888</c:v>
                </c:pt>
                <c:pt idx="8">
                  <c:v>10.666666666666666</c:v>
                </c:pt>
              </c:numCache>
            </c:numRef>
          </c:val>
          <c:smooth val="0"/>
          <c:extLst>
            <c:ext xmlns:c16="http://schemas.microsoft.com/office/drawing/2014/chart" uri="{C3380CC4-5D6E-409C-BE32-E72D297353CC}">
              <c16:uniqueId val="{00000000-AB52-444C-B99B-C814287E26EA}"/>
            </c:ext>
          </c:extLst>
        </c:ser>
        <c:ser>
          <c:idx val="1"/>
          <c:order val="1"/>
          <c:tx>
            <c:strRef>
              <c:f>y0!$O$10</c:f>
              <c:strCache>
                <c:ptCount val="1"/>
                <c:pt idx="0">
                  <c:v>y</c:v>
                </c:pt>
              </c:strCache>
            </c:strRef>
          </c:tx>
          <c:spPr>
            <a:ln w="28575" cap="rnd">
              <a:solidFill>
                <a:schemeClr val="accent2"/>
              </a:solidFill>
              <a:round/>
            </a:ln>
            <a:effectLst/>
          </c:spPr>
          <c:marker>
            <c:symbol val="none"/>
          </c:marker>
          <c:val>
            <c:numRef>
              <c:f>y0!$O$11:$O$19</c:f>
              <c:numCache>
                <c:formatCode>General</c:formatCode>
                <c:ptCount val="9"/>
                <c:pt idx="0">
                  <c:v>12.666666666666666</c:v>
                </c:pt>
                <c:pt idx="1">
                  <c:v>12.481481481481481</c:v>
                </c:pt>
                <c:pt idx="2">
                  <c:v>12.222222222222223</c:v>
                </c:pt>
                <c:pt idx="3">
                  <c:v>12</c:v>
                </c:pt>
                <c:pt idx="4">
                  <c:v>11.740740740740742</c:v>
                </c:pt>
                <c:pt idx="5">
                  <c:v>11.629629629629628</c:v>
                </c:pt>
                <c:pt idx="6">
                  <c:v>11.59259259259259</c:v>
                </c:pt>
                <c:pt idx="7">
                  <c:v>11.574074074074076</c:v>
                </c:pt>
                <c:pt idx="8">
                  <c:v>11.555555555555557</c:v>
                </c:pt>
              </c:numCache>
            </c:numRef>
          </c:val>
          <c:smooth val="0"/>
          <c:extLst>
            <c:ext xmlns:c16="http://schemas.microsoft.com/office/drawing/2014/chart" uri="{C3380CC4-5D6E-409C-BE32-E72D297353CC}">
              <c16:uniqueId val="{00000001-AB52-444C-B99B-C814287E26EA}"/>
            </c:ext>
          </c:extLst>
        </c:ser>
        <c:dLbls>
          <c:showLegendKey val="0"/>
          <c:showVal val="0"/>
          <c:showCatName val="0"/>
          <c:showSerName val="0"/>
          <c:showPercent val="0"/>
          <c:showBubbleSize val="0"/>
        </c:dLbls>
        <c:smooth val="0"/>
        <c:axId val="848824144"/>
        <c:axId val="597007848"/>
      </c:lineChart>
      <c:catAx>
        <c:axId val="848824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7007848"/>
        <c:crosses val="autoZero"/>
        <c:auto val="1"/>
        <c:lblAlgn val="ctr"/>
        <c:lblOffset val="100"/>
        <c:noMultiLvlLbl val="0"/>
      </c:catAx>
      <c:valAx>
        <c:axId val="597007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8824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Valeur de x et y en fonction de la valeur de y0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y0!$W$10</c:f>
              <c:strCache>
                <c:ptCount val="1"/>
                <c:pt idx="0">
                  <c:v>x</c:v>
                </c:pt>
              </c:strCache>
            </c:strRef>
          </c:tx>
          <c:spPr>
            <a:ln w="28575" cap="rnd">
              <a:solidFill>
                <a:schemeClr val="accent1"/>
              </a:solidFill>
              <a:round/>
            </a:ln>
            <a:effectLst/>
          </c:spPr>
          <c:marker>
            <c:symbol val="none"/>
          </c:marker>
          <c:val>
            <c:numRef>
              <c:f>y0!$W$11:$W$19</c:f>
              <c:numCache>
                <c:formatCode>General</c:formatCode>
                <c:ptCount val="9"/>
                <c:pt idx="0">
                  <c:v>23.72992</c:v>
                </c:pt>
                <c:pt idx="1">
                  <c:v>24.259120000000003</c:v>
                </c:pt>
                <c:pt idx="2">
                  <c:v>25</c:v>
                </c:pt>
                <c:pt idx="3">
                  <c:v>25.635039999999996</c:v>
                </c:pt>
                <c:pt idx="4">
                  <c:v>26.375919999999997</c:v>
                </c:pt>
                <c:pt idx="5">
                  <c:v>26.693439999999999</c:v>
                </c:pt>
                <c:pt idx="6">
                  <c:v>26.79928</c:v>
                </c:pt>
                <c:pt idx="7">
                  <c:v>26.852200000000003</c:v>
                </c:pt>
                <c:pt idx="8">
                  <c:v>26.90512</c:v>
                </c:pt>
              </c:numCache>
            </c:numRef>
          </c:val>
          <c:smooth val="0"/>
          <c:extLst>
            <c:ext xmlns:c16="http://schemas.microsoft.com/office/drawing/2014/chart" uri="{C3380CC4-5D6E-409C-BE32-E72D297353CC}">
              <c16:uniqueId val="{00000000-6AF5-4E60-9295-978FE7E797B2}"/>
            </c:ext>
          </c:extLst>
        </c:ser>
        <c:ser>
          <c:idx val="1"/>
          <c:order val="1"/>
          <c:tx>
            <c:strRef>
              <c:f>y0!$X$10</c:f>
              <c:strCache>
                <c:ptCount val="1"/>
                <c:pt idx="0">
                  <c:v>y</c:v>
                </c:pt>
              </c:strCache>
            </c:strRef>
          </c:tx>
          <c:spPr>
            <a:ln w="28575" cap="rnd">
              <a:solidFill>
                <a:schemeClr val="accent2"/>
              </a:solidFill>
              <a:round/>
            </a:ln>
            <a:effectLst/>
          </c:spPr>
          <c:marker>
            <c:symbol val="none"/>
          </c:marker>
          <c:val>
            <c:numRef>
              <c:f>y0!$X$11:$X$19</c:f>
              <c:numCache>
                <c:formatCode>General</c:formatCode>
                <c:ptCount val="9"/>
                <c:pt idx="0">
                  <c:v>18.889056</c:v>
                </c:pt>
                <c:pt idx="1">
                  <c:v>18.518615999999998</c:v>
                </c:pt>
                <c:pt idx="2">
                  <c:v>18</c:v>
                </c:pt>
                <c:pt idx="3">
                  <c:v>17.555472000000002</c:v>
                </c:pt>
                <c:pt idx="4">
                  <c:v>17.036856000000004</c:v>
                </c:pt>
                <c:pt idx="5">
                  <c:v>16.814592000000001</c:v>
                </c:pt>
                <c:pt idx="6">
                  <c:v>16.740504000000001</c:v>
                </c:pt>
                <c:pt idx="7">
                  <c:v>16.70346</c:v>
                </c:pt>
                <c:pt idx="8">
                  <c:v>16.666416000000002</c:v>
                </c:pt>
              </c:numCache>
            </c:numRef>
          </c:val>
          <c:smooth val="0"/>
          <c:extLst>
            <c:ext xmlns:c16="http://schemas.microsoft.com/office/drawing/2014/chart" uri="{C3380CC4-5D6E-409C-BE32-E72D297353CC}">
              <c16:uniqueId val="{00000001-6AF5-4E60-9295-978FE7E797B2}"/>
            </c:ext>
          </c:extLst>
        </c:ser>
        <c:dLbls>
          <c:showLegendKey val="0"/>
          <c:showVal val="0"/>
          <c:showCatName val="0"/>
          <c:showSerName val="0"/>
          <c:showPercent val="0"/>
          <c:showBubbleSize val="0"/>
        </c:dLbls>
        <c:smooth val="0"/>
        <c:axId val="715221160"/>
        <c:axId val="599802816"/>
      </c:lineChart>
      <c:catAx>
        <c:axId val="715221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802816"/>
        <c:crosses val="autoZero"/>
        <c:auto val="1"/>
        <c:lblAlgn val="ctr"/>
        <c:lblOffset val="100"/>
        <c:noMultiLvlLbl val="0"/>
      </c:catAx>
      <c:valAx>
        <c:axId val="599802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22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a:t>Valeur</a:t>
            </a:r>
            <a:r>
              <a:rPr lang="fr-CA" baseline="0"/>
              <a:t> de x et y en fonction du nombre d'itérations</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30714261963084E-2"/>
          <c:y val="0.23078508132242165"/>
          <c:w val="0.89309244940258947"/>
          <c:h val="0.56893143600982909"/>
        </c:manualLayout>
      </c:layout>
      <c:lineChart>
        <c:grouping val="standard"/>
        <c:varyColors val="0"/>
        <c:ser>
          <c:idx val="0"/>
          <c:order val="0"/>
          <c:tx>
            <c:strRef>
              <c:f>n!$E$10</c:f>
              <c:strCache>
                <c:ptCount val="1"/>
                <c:pt idx="0">
                  <c:v>x</c:v>
                </c:pt>
              </c:strCache>
            </c:strRef>
          </c:tx>
          <c:spPr>
            <a:ln w="28575" cap="rnd">
              <a:solidFill>
                <a:schemeClr val="accent1"/>
              </a:solidFill>
              <a:round/>
            </a:ln>
            <a:effectLst/>
          </c:spPr>
          <c:marker>
            <c:symbol val="none"/>
          </c:marker>
          <c:val>
            <c:numRef>
              <c:f>n!$E$11:$E$17</c:f>
              <c:numCache>
                <c:formatCode>General</c:formatCode>
                <c:ptCount val="7"/>
                <c:pt idx="0">
                  <c:v>1.75</c:v>
                </c:pt>
                <c:pt idx="1">
                  <c:v>2.921875</c:v>
                </c:pt>
                <c:pt idx="2">
                  <c:v>2.9951171875</c:v>
                </c:pt>
                <c:pt idx="3">
                  <c:v>2.9999809265136719</c:v>
                </c:pt>
                <c:pt idx="4">
                  <c:v>2.9999999999818101</c:v>
                </c:pt>
                <c:pt idx="5">
                  <c:v>3</c:v>
                </c:pt>
                <c:pt idx="6">
                  <c:v>3</c:v>
                </c:pt>
              </c:numCache>
            </c:numRef>
          </c:val>
          <c:smooth val="0"/>
          <c:extLst>
            <c:ext xmlns:c16="http://schemas.microsoft.com/office/drawing/2014/chart" uri="{C3380CC4-5D6E-409C-BE32-E72D297353CC}">
              <c16:uniqueId val="{00000000-D791-4FF4-A75B-047FC349E2EC}"/>
            </c:ext>
          </c:extLst>
        </c:ser>
        <c:ser>
          <c:idx val="1"/>
          <c:order val="1"/>
          <c:tx>
            <c:strRef>
              <c:f>n!$F$10</c:f>
              <c:strCache>
                <c:ptCount val="1"/>
                <c:pt idx="0">
                  <c:v>y</c:v>
                </c:pt>
              </c:strCache>
            </c:strRef>
          </c:tx>
          <c:spPr>
            <a:ln w="28575" cap="rnd">
              <a:solidFill>
                <a:schemeClr val="accent2"/>
              </a:solidFill>
              <a:round/>
            </a:ln>
            <a:effectLst/>
          </c:spPr>
          <c:marker>
            <c:symbol val="none"/>
          </c:marker>
          <c:val>
            <c:numRef>
              <c:f>n!$F$11:$F$17</c:f>
              <c:numCache>
                <c:formatCode>General</c:formatCode>
                <c:ptCount val="7"/>
                <c:pt idx="0">
                  <c:v>0.625</c:v>
                </c:pt>
                <c:pt idx="1">
                  <c:v>3.90625E-2</c:v>
                </c:pt>
                <c:pt idx="2">
                  <c:v>2.44140625E-3</c:v>
                </c:pt>
                <c:pt idx="3">
                  <c:v>9.5367431640625E-6</c:v>
                </c:pt>
                <c:pt idx="4">
                  <c:v>9.0949470177292824E-12</c:v>
                </c:pt>
                <c:pt idx="5">
                  <c:v>0</c:v>
                </c:pt>
                <c:pt idx="6">
                  <c:v>0</c:v>
                </c:pt>
              </c:numCache>
            </c:numRef>
          </c:val>
          <c:smooth val="0"/>
          <c:extLst>
            <c:ext xmlns:c16="http://schemas.microsoft.com/office/drawing/2014/chart" uri="{C3380CC4-5D6E-409C-BE32-E72D297353CC}">
              <c16:uniqueId val="{00000001-D791-4FF4-A75B-047FC349E2EC}"/>
            </c:ext>
          </c:extLst>
        </c:ser>
        <c:dLbls>
          <c:showLegendKey val="0"/>
          <c:showVal val="0"/>
          <c:showCatName val="0"/>
          <c:showSerName val="0"/>
          <c:showPercent val="0"/>
          <c:showBubbleSize val="0"/>
        </c:dLbls>
        <c:smooth val="0"/>
        <c:axId val="729413576"/>
        <c:axId val="729195968"/>
      </c:lineChart>
      <c:catAx>
        <c:axId val="729413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195968"/>
        <c:crosses val="autoZero"/>
        <c:auto val="1"/>
        <c:lblAlgn val="ctr"/>
        <c:lblOffset val="100"/>
        <c:noMultiLvlLbl val="0"/>
      </c:catAx>
      <c:valAx>
        <c:axId val="729195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413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Valeur de x et y en fonction du nombre d'itérations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n!$N$10</c:f>
              <c:strCache>
                <c:ptCount val="1"/>
                <c:pt idx="0">
                  <c:v>x</c:v>
                </c:pt>
              </c:strCache>
            </c:strRef>
          </c:tx>
          <c:spPr>
            <a:ln w="28575" cap="rnd">
              <a:solidFill>
                <a:schemeClr val="accent1"/>
              </a:solidFill>
              <a:round/>
            </a:ln>
            <a:effectLst/>
          </c:spPr>
          <c:marker>
            <c:symbol val="none"/>
          </c:marker>
          <c:val>
            <c:numRef>
              <c:f>n!$N$11:$N$18</c:f>
              <c:numCache>
                <c:formatCode>General</c:formatCode>
                <c:ptCount val="8"/>
                <c:pt idx="0">
                  <c:v>10.333333333333334</c:v>
                </c:pt>
                <c:pt idx="1">
                  <c:v>10.037037037037038</c:v>
                </c:pt>
                <c:pt idx="2">
                  <c:v>10.004115226337449</c:v>
                </c:pt>
                <c:pt idx="3">
                  <c:v>10.000050805263426</c:v>
                </c:pt>
                <c:pt idx="4">
                  <c:v>10.000000000860391</c:v>
                </c:pt>
                <c:pt idx="5">
                  <c:v>10.000000000000014</c:v>
                </c:pt>
                <c:pt idx="6">
                  <c:v>10</c:v>
                </c:pt>
              </c:numCache>
            </c:numRef>
          </c:val>
          <c:smooth val="0"/>
          <c:extLst>
            <c:ext xmlns:c16="http://schemas.microsoft.com/office/drawing/2014/chart" uri="{C3380CC4-5D6E-409C-BE32-E72D297353CC}">
              <c16:uniqueId val="{00000000-92FE-419C-955B-F4E6620125A1}"/>
            </c:ext>
          </c:extLst>
        </c:ser>
        <c:ser>
          <c:idx val="1"/>
          <c:order val="1"/>
          <c:tx>
            <c:strRef>
              <c:f>n!$O$10</c:f>
              <c:strCache>
                <c:ptCount val="1"/>
                <c:pt idx="0">
                  <c:v>y</c:v>
                </c:pt>
              </c:strCache>
            </c:strRef>
          </c:tx>
          <c:spPr>
            <a:ln w="28575" cap="rnd">
              <a:solidFill>
                <a:schemeClr val="accent2"/>
              </a:solidFill>
              <a:round/>
            </a:ln>
            <a:effectLst/>
          </c:spPr>
          <c:marker>
            <c:symbol val="none"/>
          </c:marker>
          <c:val>
            <c:numRef>
              <c:f>n!$O$11:$O$18</c:f>
              <c:numCache>
                <c:formatCode>General</c:formatCode>
                <c:ptCount val="8"/>
                <c:pt idx="0">
                  <c:v>11.777777777777777</c:v>
                </c:pt>
                <c:pt idx="1">
                  <c:v>11.975308641975309</c:v>
                </c:pt>
                <c:pt idx="2">
                  <c:v>11.997256515775035</c:v>
                </c:pt>
                <c:pt idx="3">
                  <c:v>11.999966129824381</c:v>
                </c:pt>
                <c:pt idx="4">
                  <c:v>11.999999999426407</c:v>
                </c:pt>
                <c:pt idx="5">
                  <c:v>11.999999999999991</c:v>
                </c:pt>
                <c:pt idx="6">
                  <c:v>12</c:v>
                </c:pt>
              </c:numCache>
            </c:numRef>
          </c:val>
          <c:smooth val="0"/>
          <c:extLst>
            <c:ext xmlns:c16="http://schemas.microsoft.com/office/drawing/2014/chart" uri="{C3380CC4-5D6E-409C-BE32-E72D297353CC}">
              <c16:uniqueId val="{00000001-92FE-419C-955B-F4E6620125A1}"/>
            </c:ext>
          </c:extLst>
        </c:ser>
        <c:dLbls>
          <c:showLegendKey val="0"/>
          <c:showVal val="0"/>
          <c:showCatName val="0"/>
          <c:showSerName val="0"/>
          <c:showPercent val="0"/>
          <c:showBubbleSize val="0"/>
        </c:dLbls>
        <c:smooth val="0"/>
        <c:axId val="848824144"/>
        <c:axId val="597007848"/>
      </c:lineChart>
      <c:catAx>
        <c:axId val="848824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7007848"/>
        <c:crosses val="autoZero"/>
        <c:auto val="1"/>
        <c:lblAlgn val="ctr"/>
        <c:lblOffset val="100"/>
        <c:noMultiLvlLbl val="0"/>
      </c:catAx>
      <c:valAx>
        <c:axId val="597007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8824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0" i="0" u="none" strike="noStrike" kern="1200" spc="0" baseline="0">
                <a:solidFill>
                  <a:sysClr val="windowText" lastClr="000000">
                    <a:lumMod val="65000"/>
                    <a:lumOff val="35000"/>
                  </a:sysClr>
                </a:solidFill>
              </a:rPr>
              <a:t>Valeur de x et y en fonction du nombre d'itérations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n!$W$10</c:f>
              <c:strCache>
                <c:ptCount val="1"/>
                <c:pt idx="0">
                  <c:v>x</c:v>
                </c:pt>
              </c:strCache>
            </c:strRef>
          </c:tx>
          <c:spPr>
            <a:ln w="28575" cap="rnd">
              <a:solidFill>
                <a:schemeClr val="accent1"/>
              </a:solidFill>
              <a:round/>
            </a:ln>
            <a:effectLst/>
          </c:spPr>
          <c:marker>
            <c:symbol val="none"/>
          </c:marker>
          <c:val>
            <c:numRef>
              <c:f>n!$W$11:$W$18</c:f>
              <c:numCache>
                <c:formatCode>General</c:formatCode>
                <c:ptCount val="8"/>
                <c:pt idx="0">
                  <c:v>27.015999999999998</c:v>
                </c:pt>
                <c:pt idx="1">
                  <c:v>25.355622399999998</c:v>
                </c:pt>
                <c:pt idx="2">
                  <c:v>25.062731791360001</c:v>
                </c:pt>
                <c:pt idx="3">
                  <c:v>25.001952022642477</c:v>
                </c:pt>
                <c:pt idx="4">
                  <c:v>25.000000333409339</c:v>
                </c:pt>
                <c:pt idx="5">
                  <c:v>25.000000000056946</c:v>
                </c:pt>
                <c:pt idx="6">
                  <c:v>25.000000000000007</c:v>
                </c:pt>
              </c:numCache>
            </c:numRef>
          </c:val>
          <c:smooth val="0"/>
          <c:extLst>
            <c:ext xmlns:c16="http://schemas.microsoft.com/office/drawing/2014/chart" uri="{C3380CC4-5D6E-409C-BE32-E72D297353CC}">
              <c16:uniqueId val="{00000000-AF2F-4DCF-B291-A50E233A9941}"/>
            </c:ext>
          </c:extLst>
        </c:ser>
        <c:ser>
          <c:idx val="1"/>
          <c:order val="1"/>
          <c:tx>
            <c:strRef>
              <c:f>n!$X$10</c:f>
              <c:strCache>
                <c:ptCount val="1"/>
                <c:pt idx="0">
                  <c:v>y</c:v>
                </c:pt>
              </c:strCache>
            </c:strRef>
          </c:tx>
          <c:spPr>
            <a:ln w="28575" cap="rnd">
              <a:solidFill>
                <a:schemeClr val="accent2"/>
              </a:solidFill>
              <a:round/>
            </a:ln>
            <a:effectLst/>
          </c:spPr>
          <c:marker>
            <c:symbol val="none"/>
          </c:marker>
          <c:val>
            <c:numRef>
              <c:f>n!$X$11:$X$18</c:f>
              <c:numCache>
                <c:formatCode>General</c:formatCode>
                <c:ptCount val="8"/>
                <c:pt idx="0">
                  <c:v>16.588799999999999</c:v>
                </c:pt>
                <c:pt idx="1">
                  <c:v>17.751064320000001</c:v>
                </c:pt>
                <c:pt idx="2">
                  <c:v>17.956087746047999</c:v>
                </c:pt>
                <c:pt idx="3">
                  <c:v>17.998633584150266</c:v>
                </c:pt>
                <c:pt idx="4">
                  <c:v>17.999999766613463</c:v>
                </c:pt>
                <c:pt idx="5">
                  <c:v>17.999999999960139</c:v>
                </c:pt>
                <c:pt idx="6">
                  <c:v>17.999999999999993</c:v>
                </c:pt>
              </c:numCache>
            </c:numRef>
          </c:val>
          <c:smooth val="0"/>
          <c:extLst>
            <c:ext xmlns:c16="http://schemas.microsoft.com/office/drawing/2014/chart" uri="{C3380CC4-5D6E-409C-BE32-E72D297353CC}">
              <c16:uniqueId val="{00000001-AF2F-4DCF-B291-A50E233A9941}"/>
            </c:ext>
          </c:extLst>
        </c:ser>
        <c:dLbls>
          <c:showLegendKey val="0"/>
          <c:showVal val="0"/>
          <c:showCatName val="0"/>
          <c:showSerName val="0"/>
          <c:showPercent val="0"/>
          <c:showBubbleSize val="0"/>
        </c:dLbls>
        <c:smooth val="0"/>
        <c:axId val="715221160"/>
        <c:axId val="599802816"/>
      </c:lineChart>
      <c:catAx>
        <c:axId val="715221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9802816"/>
        <c:crosses val="autoZero"/>
        <c:auto val="1"/>
        <c:lblAlgn val="ctr"/>
        <c:lblOffset val="100"/>
        <c:noMultiLvlLbl val="0"/>
      </c:catAx>
      <c:valAx>
        <c:axId val="599802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22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1188</xdr:colOff>
      <xdr:row>20</xdr:row>
      <xdr:rowOff>3254</xdr:rowOff>
    </xdr:from>
    <xdr:to>
      <xdr:col>7</xdr:col>
      <xdr:colOff>612017</xdr:colOff>
      <xdr:row>35</xdr:row>
      <xdr:rowOff>2329</xdr:rowOff>
    </xdr:to>
    <xdr:graphicFrame macro="">
      <xdr:nvGraphicFramePr>
        <xdr:cNvPr id="5" name="Graphique 4">
          <a:extLst>
            <a:ext uri="{FF2B5EF4-FFF2-40B4-BE49-F238E27FC236}">
              <a16:creationId xmlns:a16="http://schemas.microsoft.com/office/drawing/2014/main" id="{DF3A7CB2-7DA5-1DFF-8D57-D569DC9737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6459</xdr:colOff>
      <xdr:row>20</xdr:row>
      <xdr:rowOff>646</xdr:rowOff>
    </xdr:from>
    <xdr:to>
      <xdr:col>17</xdr:col>
      <xdr:colOff>8072</xdr:colOff>
      <xdr:row>35</xdr:row>
      <xdr:rowOff>0</xdr:rowOff>
    </xdr:to>
    <xdr:graphicFrame macro="">
      <xdr:nvGraphicFramePr>
        <xdr:cNvPr id="7" name="Graphique 6">
          <a:extLst>
            <a:ext uri="{FF2B5EF4-FFF2-40B4-BE49-F238E27FC236}">
              <a16:creationId xmlns:a16="http://schemas.microsoft.com/office/drawing/2014/main" id="{632DBD0C-67EF-AF9E-C6C0-A1545CF786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586299</xdr:colOff>
      <xdr:row>20</xdr:row>
      <xdr:rowOff>1059</xdr:rowOff>
    </xdr:from>
    <xdr:to>
      <xdr:col>26</xdr:col>
      <xdr:colOff>43490</xdr:colOff>
      <xdr:row>35</xdr:row>
      <xdr:rowOff>20522</xdr:rowOff>
    </xdr:to>
    <xdr:graphicFrame macro="">
      <xdr:nvGraphicFramePr>
        <xdr:cNvPr id="9" name="Graphique 8">
          <a:extLst>
            <a:ext uri="{FF2B5EF4-FFF2-40B4-BE49-F238E27FC236}">
              <a16:creationId xmlns:a16="http://schemas.microsoft.com/office/drawing/2014/main" id="{9B5F885F-4EA9-86AF-9C98-48EE1BECC4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1188</xdr:colOff>
      <xdr:row>18</xdr:row>
      <xdr:rowOff>186134</xdr:rowOff>
    </xdr:from>
    <xdr:to>
      <xdr:col>7</xdr:col>
      <xdr:colOff>612017</xdr:colOff>
      <xdr:row>33</xdr:row>
      <xdr:rowOff>185209</xdr:rowOff>
    </xdr:to>
    <xdr:graphicFrame macro="">
      <xdr:nvGraphicFramePr>
        <xdr:cNvPr id="2" name="Graphique 1">
          <a:extLst>
            <a:ext uri="{FF2B5EF4-FFF2-40B4-BE49-F238E27FC236}">
              <a16:creationId xmlns:a16="http://schemas.microsoft.com/office/drawing/2014/main" id="{785202B8-84B6-4C63-9916-3E26DA7BE8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6459</xdr:colOff>
      <xdr:row>19</xdr:row>
      <xdr:rowOff>646</xdr:rowOff>
    </xdr:from>
    <xdr:to>
      <xdr:col>17</xdr:col>
      <xdr:colOff>8072</xdr:colOff>
      <xdr:row>34</xdr:row>
      <xdr:rowOff>0</xdr:rowOff>
    </xdr:to>
    <xdr:graphicFrame macro="">
      <xdr:nvGraphicFramePr>
        <xdr:cNvPr id="3" name="Graphique 2">
          <a:extLst>
            <a:ext uri="{FF2B5EF4-FFF2-40B4-BE49-F238E27FC236}">
              <a16:creationId xmlns:a16="http://schemas.microsoft.com/office/drawing/2014/main" id="{04EFEE2F-DD97-46F7-B5E2-003D36AB9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9736</xdr:colOff>
      <xdr:row>18</xdr:row>
      <xdr:rowOff>171074</xdr:rowOff>
    </xdr:from>
    <xdr:to>
      <xdr:col>26</xdr:col>
      <xdr:colOff>83721</xdr:colOff>
      <xdr:row>34</xdr:row>
      <xdr:rowOff>2252</xdr:rowOff>
    </xdr:to>
    <xdr:graphicFrame macro="">
      <xdr:nvGraphicFramePr>
        <xdr:cNvPr id="4" name="Graphique 3">
          <a:extLst>
            <a:ext uri="{FF2B5EF4-FFF2-40B4-BE49-F238E27FC236}">
              <a16:creationId xmlns:a16="http://schemas.microsoft.com/office/drawing/2014/main" id="{F9525A5E-019C-4BA1-87BC-AF4CC51EE9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C682A-35BD-4986-98AE-CCB764D11D6E}">
  <sheetPr codeName="Sheet1"/>
  <dimension ref="B2:D6"/>
  <sheetViews>
    <sheetView tabSelected="1" workbookViewId="0">
      <selection activeCell="E8" sqref="E8"/>
    </sheetView>
  </sheetViews>
  <sheetFormatPr defaultColWidth="8.88671875" defaultRowHeight="14.4" x14ac:dyDescent="0.3"/>
  <cols>
    <col min="2" max="2" width="9.88671875" customWidth="1"/>
    <col min="4" max="4" width="11.109375" customWidth="1"/>
  </cols>
  <sheetData>
    <row r="2" spans="2:4" x14ac:dyDescent="0.3">
      <c r="B2" s="1" t="s">
        <v>23</v>
      </c>
    </row>
    <row r="4" spans="2:4" x14ac:dyDescent="0.3">
      <c r="B4" t="s">
        <v>24</v>
      </c>
      <c r="C4" t="s">
        <v>25</v>
      </c>
      <c r="D4">
        <v>11297786</v>
      </c>
    </row>
    <row r="5" spans="2:4" x14ac:dyDescent="0.3">
      <c r="B5" t="s">
        <v>26</v>
      </c>
      <c r="C5" t="s">
        <v>27</v>
      </c>
      <c r="D5">
        <v>11315823</v>
      </c>
    </row>
    <row r="6" spans="2:4" x14ac:dyDescent="0.3">
      <c r="B6" t="s">
        <v>28</v>
      </c>
      <c r="C6" t="s">
        <v>29</v>
      </c>
      <c r="D6">
        <v>11298595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C3:X51"/>
  <sheetViews>
    <sheetView topLeftCell="E8" zoomScale="51" zoomScaleNormal="90" workbookViewId="0">
      <selection activeCell="V48" sqref="V48"/>
    </sheetView>
  </sheetViews>
  <sheetFormatPr defaultColWidth="9.109375" defaultRowHeight="14.4" x14ac:dyDescent="0.3"/>
  <cols>
    <col min="4" max="4" width="10.44140625" customWidth="1"/>
    <col min="5" max="5" width="10.33203125" bestFit="1" customWidth="1"/>
    <col min="13" max="14" width="10.33203125" bestFit="1" customWidth="1"/>
    <col min="22" max="22" width="10.33203125" bestFit="1" customWidth="1"/>
  </cols>
  <sheetData>
    <row r="3" spans="3:24" x14ac:dyDescent="0.3">
      <c r="C3" s="12" t="s">
        <v>1</v>
      </c>
      <c r="D3" s="12"/>
      <c r="E3" s="12"/>
      <c r="F3" s="12"/>
      <c r="L3" s="13" t="s">
        <v>13</v>
      </c>
      <c r="M3" s="13"/>
      <c r="N3" s="13"/>
      <c r="O3" s="13"/>
      <c r="U3" s="10" t="s">
        <v>14</v>
      </c>
      <c r="V3" s="10"/>
      <c r="W3" s="10"/>
      <c r="X3" s="10"/>
    </row>
    <row r="5" spans="3:24" x14ac:dyDescent="0.3">
      <c r="D5" s="1" t="s">
        <v>0</v>
      </c>
      <c r="E5" t="s">
        <v>8</v>
      </c>
      <c r="M5" s="1" t="s">
        <v>0</v>
      </c>
      <c r="N5" t="s">
        <v>9</v>
      </c>
      <c r="V5" s="1" t="s">
        <v>0</v>
      </c>
      <c r="W5" t="s">
        <v>11</v>
      </c>
    </row>
    <row r="6" spans="3:24" x14ac:dyDescent="0.3">
      <c r="D6" s="1" t="s">
        <v>2</v>
      </c>
      <c r="E6" t="s">
        <v>3</v>
      </c>
      <c r="M6" s="1" t="s">
        <v>2</v>
      </c>
      <c r="N6" t="s">
        <v>10</v>
      </c>
      <c r="V6" s="1" t="s">
        <v>2</v>
      </c>
      <c r="W6" t="s">
        <v>12</v>
      </c>
    </row>
    <row r="8" spans="3:24" ht="30" customHeight="1" x14ac:dyDescent="0.3">
      <c r="C8" s="6" t="s">
        <v>15</v>
      </c>
      <c r="D8" s="6"/>
      <c r="E8" s="6"/>
      <c r="F8" s="6"/>
      <c r="L8" s="14" t="s">
        <v>15</v>
      </c>
      <c r="M8" s="14"/>
      <c r="N8" s="14"/>
      <c r="O8" s="14"/>
      <c r="U8" s="11" t="s">
        <v>15</v>
      </c>
      <c r="V8" s="11"/>
      <c r="W8" s="11"/>
      <c r="X8" s="11"/>
    </row>
    <row r="10" spans="3:24" x14ac:dyDescent="0.3">
      <c r="C10" s="3" t="s">
        <v>4</v>
      </c>
      <c r="D10" s="3" t="s">
        <v>5</v>
      </c>
      <c r="E10" s="3" t="s">
        <v>6</v>
      </c>
      <c r="F10" s="3" t="s">
        <v>7</v>
      </c>
      <c r="L10" s="3" t="s">
        <v>4</v>
      </c>
      <c r="M10" s="3" t="s">
        <v>5</v>
      </c>
      <c r="N10" s="3" t="s">
        <v>6</v>
      </c>
      <c r="O10" s="3" t="s">
        <v>7</v>
      </c>
      <c r="U10" s="3" t="s">
        <v>4</v>
      </c>
      <c r="V10" s="3" t="s">
        <v>5</v>
      </c>
      <c r="W10" s="3" t="s">
        <v>6</v>
      </c>
      <c r="X10" s="3" t="s">
        <v>7</v>
      </c>
    </row>
    <row r="11" spans="3:24" x14ac:dyDescent="0.3">
      <c r="C11" s="2">
        <v>3</v>
      </c>
      <c r="D11" s="2">
        <v>30</v>
      </c>
      <c r="E11" s="2" cm="1">
        <f t="array" ref="E11:F11">ResoudreGenerale(D11,C11,2,1,6,1,2,3)</f>
        <v>2.0625</v>
      </c>
      <c r="F11" s="2">
        <v>0.46875</v>
      </c>
      <c r="L11" s="2">
        <v>3</v>
      </c>
      <c r="M11" s="2">
        <v>30</v>
      </c>
      <c r="N11" s="2" cm="1">
        <f t="array" ref="N11:O11">ResoudreGenerale(M11,L11,6,3,96,2,3,56)</f>
        <v>9</v>
      </c>
      <c r="O11" s="2">
        <v>12.666666666666666</v>
      </c>
      <c r="U11" s="2">
        <v>3</v>
      </c>
      <c r="V11" s="2">
        <v>30</v>
      </c>
      <c r="W11" s="2" cm="1">
        <f t="array" ref="W11:X11">ResoudreGenerale(V11,U11,5,3,179,7,10,355)</f>
        <v>23.72992</v>
      </c>
      <c r="X11" s="2">
        <v>18.889056</v>
      </c>
    </row>
    <row r="12" spans="3:24" x14ac:dyDescent="0.3">
      <c r="C12" s="2">
        <v>3</v>
      </c>
      <c r="D12" s="2">
        <v>25</v>
      </c>
      <c r="E12" s="2" cm="1">
        <f t="array" ref="E12:F12">ResoudreGenerale(D12,C12,2,1,6,1,2,3)</f>
        <v>2.21875</v>
      </c>
      <c r="F12" s="2">
        <v>0.390625</v>
      </c>
      <c r="L12" s="2">
        <v>3</v>
      </c>
      <c r="M12" s="2">
        <v>25</v>
      </c>
      <c r="N12" s="2" cm="1">
        <f t="array" ref="N12:O12">ResoudreGenerale(M12,L12,6,3,96,2,3,56)</f>
        <v>9.2777777777777768</v>
      </c>
      <c r="O12" s="2">
        <v>12.481481481481481</v>
      </c>
      <c r="U12" s="2">
        <v>3</v>
      </c>
      <c r="V12" s="2">
        <v>25</v>
      </c>
      <c r="W12" s="2" cm="1">
        <f t="array" ref="W12:X12">ResoudreGenerale(V12,U12,5,3,179,7,10,355)</f>
        <v>24.259120000000003</v>
      </c>
      <c r="X12" s="2">
        <v>18.518615999999998</v>
      </c>
    </row>
    <row r="13" spans="3:24" x14ac:dyDescent="0.3">
      <c r="C13" s="2">
        <v>3</v>
      </c>
      <c r="D13" s="2">
        <v>18</v>
      </c>
      <c r="E13" s="2" cm="1">
        <f t="array" ref="E13:F13">ResoudreGenerale(D13,C13,2,1,6,1,2,3)</f>
        <v>2.4375</v>
      </c>
      <c r="F13" s="2">
        <v>0.28125</v>
      </c>
      <c r="L13" s="2">
        <v>3</v>
      </c>
      <c r="M13" s="2">
        <v>18</v>
      </c>
      <c r="N13" s="2" cm="1">
        <f t="array" ref="N13:O13">ResoudreGenerale(M13,L13,6,3,96,2,3,56)</f>
        <v>9.6666666666666661</v>
      </c>
      <c r="O13" s="2">
        <v>12.222222222222223</v>
      </c>
      <c r="U13" s="2">
        <v>3</v>
      </c>
      <c r="V13" s="2">
        <v>18</v>
      </c>
      <c r="W13" s="4" cm="1">
        <f t="array" ref="W13:X13">ResoudreGenerale(V13,U13,5,3,179,7,10,355)</f>
        <v>25</v>
      </c>
      <c r="X13" s="4">
        <v>18</v>
      </c>
    </row>
    <row r="14" spans="3:24" x14ac:dyDescent="0.3">
      <c r="C14" s="2">
        <v>3</v>
      </c>
      <c r="D14" s="2">
        <v>12</v>
      </c>
      <c r="E14" s="2" cm="1">
        <f t="array" ref="E14:F14">ResoudreGenerale(D14,C14,2,1,6,1,2,3)</f>
        <v>2.625</v>
      </c>
      <c r="F14" s="2">
        <v>0.1875</v>
      </c>
      <c r="L14" s="2">
        <v>3</v>
      </c>
      <c r="M14" s="2">
        <v>12</v>
      </c>
      <c r="N14" s="4" cm="1">
        <f t="array" ref="N14:O14">ResoudreGenerale(M14,L14,6,3,96,2,3,56)</f>
        <v>10</v>
      </c>
      <c r="O14" s="4">
        <v>12</v>
      </c>
      <c r="U14" s="2">
        <v>3</v>
      </c>
      <c r="V14" s="2">
        <v>12</v>
      </c>
      <c r="W14" s="2" cm="1">
        <f t="array" ref="W14:X14">ResoudreGenerale(V14,U14,5,3,179,7,10,355)</f>
        <v>25.635039999999996</v>
      </c>
      <c r="X14" s="2">
        <v>17.555472000000002</v>
      </c>
    </row>
    <row r="15" spans="3:24" x14ac:dyDescent="0.3">
      <c r="C15" s="2">
        <v>3</v>
      </c>
      <c r="D15" s="2">
        <v>5</v>
      </c>
      <c r="E15" s="2" cm="1">
        <f t="array" ref="E15:F15">ResoudreGenerale(D15,C15,2,1,6,1,2,3)</f>
        <v>2.84375</v>
      </c>
      <c r="F15" s="2">
        <v>7.8125E-2</v>
      </c>
      <c r="L15" s="2">
        <v>3</v>
      </c>
      <c r="M15" s="2">
        <v>5</v>
      </c>
      <c r="N15" s="2" cm="1">
        <f t="array" ref="N15:O15">ResoudreGenerale(M15,L15,6,3,96,2,3,56)</f>
        <v>10.388888888888888</v>
      </c>
      <c r="O15" s="2">
        <v>11.740740740740742</v>
      </c>
      <c r="U15" s="2">
        <v>3</v>
      </c>
      <c r="V15" s="2">
        <v>5</v>
      </c>
      <c r="W15" s="2" cm="1">
        <f t="array" ref="W15:X15">ResoudreGenerale(V15,U15,5,3,179,7,10,355)</f>
        <v>26.375919999999997</v>
      </c>
      <c r="X15" s="2">
        <v>17.036856000000004</v>
      </c>
    </row>
    <row r="16" spans="3:24" x14ac:dyDescent="0.3">
      <c r="C16" s="2">
        <v>3</v>
      </c>
      <c r="D16">
        <v>2</v>
      </c>
      <c r="E16" s="2" cm="1">
        <f t="array" ref="E16:F16">ResoudreGenerale(D16,C16,2,1,6,1,2,3)</f>
        <v>2.9375</v>
      </c>
      <c r="F16" s="2">
        <v>3.125E-2</v>
      </c>
      <c r="L16" s="2">
        <v>3</v>
      </c>
      <c r="M16">
        <v>2</v>
      </c>
      <c r="N16" s="2" cm="1">
        <f t="array" ref="N16:O16">ResoudreGenerale(M16,L16,6,3,96,2,3,56)</f>
        <v>10.555555555555555</v>
      </c>
      <c r="O16" s="2">
        <v>11.629629629629628</v>
      </c>
      <c r="U16" s="2">
        <v>3</v>
      </c>
      <c r="V16">
        <v>2</v>
      </c>
      <c r="W16" s="2" cm="1">
        <f t="array" ref="W16:X16">ResoudreGenerale(V16,U16,5,3,179,7,10,355)</f>
        <v>26.693439999999999</v>
      </c>
      <c r="X16" s="2">
        <v>16.814592000000001</v>
      </c>
    </row>
    <row r="17" spans="3:24" x14ac:dyDescent="0.3">
      <c r="C17" s="2">
        <v>3</v>
      </c>
      <c r="D17">
        <v>1</v>
      </c>
      <c r="E17" s="2" cm="1">
        <f t="array" ref="E17:F17">ResoudreGenerale(D17,C17,2,1,6,1,2,3)</f>
        <v>2.96875</v>
      </c>
      <c r="F17" s="2">
        <v>1.5625E-2</v>
      </c>
      <c r="L17" s="2">
        <v>3</v>
      </c>
      <c r="M17">
        <v>1</v>
      </c>
      <c r="N17" s="2" cm="1">
        <f t="array" ref="N17:O17">ResoudreGenerale(M17,L17,6,3,96,2,3,56)</f>
        <v>10.611111111111112</v>
      </c>
      <c r="O17" s="2">
        <v>11.59259259259259</v>
      </c>
      <c r="U17" s="2">
        <v>3</v>
      </c>
      <c r="V17">
        <v>1</v>
      </c>
      <c r="W17" s="2" cm="1">
        <f t="array" ref="W17:X17">ResoudreGenerale(V17,U17,5,3,179,7,10,355)</f>
        <v>26.79928</v>
      </c>
      <c r="X17" s="2">
        <v>16.740504000000001</v>
      </c>
    </row>
    <row r="18" spans="3:24" x14ac:dyDescent="0.3">
      <c r="C18" s="2">
        <v>3</v>
      </c>
      <c r="D18">
        <v>0.5</v>
      </c>
      <c r="E18" s="2" cm="1">
        <f t="array" ref="E18:F18">ResoudreGenerale(D18,C18,2,1,6,1,2,3)</f>
        <v>2.984375</v>
      </c>
      <c r="F18" s="2">
        <v>7.8125E-3</v>
      </c>
      <c r="L18" s="2">
        <v>3</v>
      </c>
      <c r="M18">
        <v>0.5</v>
      </c>
      <c r="N18" s="2" cm="1">
        <f t="array" ref="N18:O18">ResoudreGenerale(M18,L18,6,3,96,2,3,56)</f>
        <v>10.638888888888888</v>
      </c>
      <c r="O18" s="2">
        <v>11.574074074074076</v>
      </c>
      <c r="U18" s="2">
        <v>3</v>
      </c>
      <c r="V18">
        <v>0.5</v>
      </c>
      <c r="W18" s="2" cm="1">
        <f t="array" ref="W18:X18">ResoudreGenerale(V18,U18,5,3,179,7,10,355)</f>
        <v>26.852200000000003</v>
      </c>
      <c r="X18" s="2">
        <v>16.70346</v>
      </c>
    </row>
    <row r="19" spans="3:24" x14ac:dyDescent="0.3">
      <c r="C19" s="2">
        <v>3</v>
      </c>
      <c r="D19">
        <v>0</v>
      </c>
      <c r="E19" s="4" cm="1">
        <f t="array" ref="E19:F19">ResoudreGenerale(D19,C19,2,1,6,1,2,3)</f>
        <v>3</v>
      </c>
      <c r="F19" s="4">
        <v>0</v>
      </c>
      <c r="L19" s="2">
        <v>3</v>
      </c>
      <c r="M19">
        <v>0</v>
      </c>
      <c r="N19" s="2" cm="1">
        <f t="array" ref="N19:O19">ResoudreGenerale(M19,L19,6,3,96,2,3,56)</f>
        <v>10.666666666666666</v>
      </c>
      <c r="O19" s="2">
        <v>11.555555555555557</v>
      </c>
      <c r="U19" s="2">
        <v>3</v>
      </c>
      <c r="V19">
        <v>0</v>
      </c>
      <c r="W19" s="2" cm="1">
        <f t="array" ref="W19:X19">ResoudreGenerale(V19,U19,5,3,179,7,10,355)</f>
        <v>26.90512</v>
      </c>
      <c r="X19" s="2">
        <v>16.666416000000002</v>
      </c>
    </row>
    <row r="20" spans="3:24" x14ac:dyDescent="0.3">
      <c r="E20" s="2"/>
      <c r="N20" s="2"/>
      <c r="O20" s="2"/>
    </row>
    <row r="21" spans="3:24" x14ac:dyDescent="0.3">
      <c r="E21" s="2"/>
      <c r="N21" s="2"/>
      <c r="O21" s="2"/>
    </row>
    <row r="22" spans="3:24" x14ac:dyDescent="0.3">
      <c r="E22" s="2"/>
      <c r="N22" s="2"/>
      <c r="O22" s="2"/>
    </row>
    <row r="23" spans="3:24" x14ac:dyDescent="0.3">
      <c r="N23" s="2"/>
      <c r="O23" s="2"/>
    </row>
    <row r="37" spans="3:24" x14ac:dyDescent="0.3">
      <c r="D37" s="7" t="s">
        <v>18</v>
      </c>
      <c r="E37" s="8"/>
      <c r="F37" s="8"/>
      <c r="M37" s="7" t="s">
        <v>19</v>
      </c>
      <c r="N37" s="7"/>
      <c r="O37" s="7"/>
      <c r="V37" s="7" t="s">
        <v>20</v>
      </c>
      <c r="W37" s="8"/>
      <c r="X37" s="8"/>
    </row>
    <row r="39" spans="3:24" ht="14.4" customHeight="1" x14ac:dyDescent="0.3">
      <c r="C39" s="6" t="s">
        <v>17</v>
      </c>
      <c r="D39" s="6"/>
      <c r="E39" s="6"/>
      <c r="F39" s="6"/>
    </row>
    <row r="40" spans="3:24" ht="14.4" customHeight="1" x14ac:dyDescent="0.3">
      <c r="C40" s="6"/>
      <c r="D40" s="6"/>
      <c r="E40" s="6"/>
      <c r="F40" s="6"/>
    </row>
    <row r="41" spans="3:24" ht="14.4" customHeight="1" x14ac:dyDescent="0.3">
      <c r="C41" s="5"/>
      <c r="D41" s="5"/>
      <c r="E41" s="5"/>
      <c r="F41" s="5"/>
    </row>
    <row r="42" spans="3:24" ht="15" customHeight="1" x14ac:dyDescent="0.3">
      <c r="C42" s="3" t="s">
        <v>4</v>
      </c>
      <c r="D42" s="3" t="s">
        <v>5</v>
      </c>
      <c r="E42" s="3" t="s">
        <v>6</v>
      </c>
      <c r="F42" s="3" t="s">
        <v>7</v>
      </c>
      <c r="K42" s="9" t="s">
        <v>21</v>
      </c>
      <c r="L42" s="9"/>
      <c r="M42" s="9"/>
      <c r="N42" s="9"/>
      <c r="O42" s="9"/>
      <c r="P42" s="9"/>
      <c r="Q42" s="9"/>
      <c r="R42" s="9"/>
      <c r="S42" s="9"/>
      <c r="T42" s="9"/>
      <c r="U42" s="9"/>
    </row>
    <row r="43" spans="3:24" x14ac:dyDescent="0.3">
      <c r="C43" s="2">
        <v>30</v>
      </c>
      <c r="D43" s="2">
        <v>30</v>
      </c>
      <c r="E43" s="4" cm="1">
        <f t="array" ref="E43:F43">ResoudreGenerale(D43,C43,2,1,6,1,2,3)</f>
        <v>3</v>
      </c>
      <c r="F43" s="4">
        <v>0</v>
      </c>
      <c r="K43" s="9"/>
      <c r="L43" s="9"/>
      <c r="M43" s="9"/>
      <c r="N43" s="9"/>
      <c r="O43" s="9"/>
      <c r="P43" s="9"/>
      <c r="Q43" s="9"/>
      <c r="R43" s="9"/>
      <c r="S43" s="9"/>
      <c r="T43" s="9"/>
      <c r="U43" s="9"/>
    </row>
    <row r="44" spans="3:24" x14ac:dyDescent="0.3">
      <c r="C44" s="2">
        <v>30</v>
      </c>
      <c r="D44" s="2">
        <v>25</v>
      </c>
      <c r="E44" s="4" cm="1">
        <f t="array" ref="E44:F44">ResoudreGenerale(D44,C44,2,1,6,1,2,3)</f>
        <v>3</v>
      </c>
      <c r="F44" s="4">
        <v>0</v>
      </c>
      <c r="K44" s="9"/>
      <c r="L44" s="9"/>
      <c r="M44" s="9"/>
      <c r="N44" s="9"/>
      <c r="O44" s="9"/>
      <c r="P44" s="9"/>
      <c r="Q44" s="9"/>
      <c r="R44" s="9"/>
      <c r="S44" s="9"/>
      <c r="T44" s="9"/>
      <c r="U44" s="9"/>
    </row>
    <row r="45" spans="3:24" x14ac:dyDescent="0.3">
      <c r="C45" s="2">
        <v>30</v>
      </c>
      <c r="D45" s="2">
        <v>18</v>
      </c>
      <c r="E45" s="4" cm="1">
        <f t="array" ref="E45:F45">ResoudreGenerale(D45,C45,2,1,6,1,2,3)</f>
        <v>3</v>
      </c>
      <c r="F45" s="4">
        <v>0</v>
      </c>
      <c r="K45" s="9"/>
      <c r="L45" s="9"/>
      <c r="M45" s="9"/>
      <c r="N45" s="9"/>
      <c r="O45" s="9"/>
      <c r="P45" s="9"/>
      <c r="Q45" s="9"/>
      <c r="R45" s="9"/>
      <c r="S45" s="9"/>
      <c r="T45" s="9"/>
      <c r="U45" s="9"/>
    </row>
    <row r="46" spans="3:24" x14ac:dyDescent="0.3">
      <c r="C46" s="2">
        <v>30</v>
      </c>
      <c r="D46" s="2">
        <v>12</v>
      </c>
      <c r="E46" s="4" cm="1">
        <f t="array" ref="E46:F46">ResoudreGenerale(D46,C46,2,1,6,1,2,3)</f>
        <v>3</v>
      </c>
      <c r="F46" s="4">
        <v>0</v>
      </c>
      <c r="K46" s="9"/>
      <c r="L46" s="9"/>
      <c r="M46" s="9"/>
      <c r="N46" s="9"/>
      <c r="O46" s="9"/>
      <c r="P46" s="9"/>
      <c r="Q46" s="9"/>
      <c r="R46" s="9"/>
      <c r="S46" s="9"/>
      <c r="T46" s="9"/>
      <c r="U46" s="9"/>
    </row>
    <row r="47" spans="3:24" x14ac:dyDescent="0.3">
      <c r="C47" s="2">
        <v>30</v>
      </c>
      <c r="D47" s="2">
        <v>5</v>
      </c>
      <c r="E47" s="4" cm="1">
        <f t="array" ref="E47:F47">ResoudreGenerale(D47,C47,2,1,6,1,2,3)</f>
        <v>3</v>
      </c>
      <c r="F47" s="4">
        <v>0</v>
      </c>
      <c r="K47" s="9"/>
      <c r="L47" s="9"/>
      <c r="M47" s="9"/>
      <c r="N47" s="9"/>
      <c r="O47" s="9"/>
      <c r="P47" s="9"/>
      <c r="Q47" s="9"/>
      <c r="R47" s="9"/>
      <c r="S47" s="9"/>
      <c r="T47" s="9"/>
      <c r="U47" s="9"/>
    </row>
    <row r="48" spans="3:24" x14ac:dyDescent="0.3">
      <c r="C48" s="2">
        <v>30</v>
      </c>
      <c r="D48">
        <v>2</v>
      </c>
      <c r="E48" s="4" cm="1">
        <f t="array" ref="E48:F48">ResoudreGenerale(D48,C48,2,1,6,1,2,3)</f>
        <v>3</v>
      </c>
      <c r="F48" s="4">
        <v>0</v>
      </c>
      <c r="K48" s="9"/>
      <c r="L48" s="9"/>
      <c r="M48" s="9"/>
      <c r="N48" s="9"/>
      <c r="O48" s="9"/>
      <c r="P48" s="9"/>
      <c r="Q48" s="9"/>
      <c r="R48" s="9"/>
      <c r="S48" s="9"/>
      <c r="T48" s="9"/>
      <c r="U48" s="9"/>
    </row>
    <row r="49" spans="3:21" x14ac:dyDescent="0.3">
      <c r="C49" s="2">
        <v>30</v>
      </c>
      <c r="D49">
        <v>1</v>
      </c>
      <c r="E49" s="4" cm="1">
        <f t="array" ref="E49:F49">ResoudreGenerale(D49,C49,2,1,6,1,2,3)</f>
        <v>3</v>
      </c>
      <c r="F49" s="4">
        <v>0</v>
      </c>
      <c r="K49" s="9"/>
      <c r="L49" s="9"/>
      <c r="M49" s="9"/>
      <c r="N49" s="9"/>
      <c r="O49" s="9"/>
      <c r="P49" s="9"/>
      <c r="Q49" s="9"/>
      <c r="R49" s="9"/>
      <c r="S49" s="9"/>
      <c r="T49" s="9"/>
      <c r="U49" s="9"/>
    </row>
    <row r="50" spans="3:21" x14ac:dyDescent="0.3">
      <c r="C50" s="2">
        <v>30</v>
      </c>
      <c r="D50">
        <v>0.5</v>
      </c>
      <c r="E50" s="4" cm="1">
        <f t="array" ref="E50:F50">ResoudreGenerale(D50,C50,2,1,6,1,2,3)</f>
        <v>3</v>
      </c>
      <c r="F50" s="4">
        <v>0</v>
      </c>
      <c r="K50" s="9"/>
      <c r="L50" s="9"/>
      <c r="M50" s="9"/>
      <c r="N50" s="9"/>
      <c r="O50" s="9"/>
      <c r="P50" s="9"/>
      <c r="Q50" s="9"/>
      <c r="R50" s="9"/>
      <c r="S50" s="9"/>
      <c r="T50" s="9"/>
      <c r="U50" s="9"/>
    </row>
    <row r="51" spans="3:21" x14ac:dyDescent="0.3">
      <c r="C51" s="2">
        <v>30</v>
      </c>
      <c r="D51">
        <v>0</v>
      </c>
      <c r="E51" s="4" cm="1">
        <f t="array" ref="E51:F51">ResoudreGenerale(D51,C51,2,1,6,1,2,3)</f>
        <v>3</v>
      </c>
      <c r="F51" s="4">
        <v>0</v>
      </c>
      <c r="K51" s="9"/>
      <c r="L51" s="9"/>
      <c r="M51" s="9"/>
      <c r="N51" s="9"/>
      <c r="O51" s="9"/>
      <c r="P51" s="9"/>
      <c r="Q51" s="9"/>
      <c r="R51" s="9"/>
      <c r="S51" s="9"/>
      <c r="T51" s="9"/>
      <c r="U51" s="9"/>
    </row>
  </sheetData>
  <mergeCells count="11">
    <mergeCell ref="U3:X3"/>
    <mergeCell ref="U8:X8"/>
    <mergeCell ref="C3:F3"/>
    <mergeCell ref="C8:F8"/>
    <mergeCell ref="L3:O3"/>
    <mergeCell ref="L8:O8"/>
    <mergeCell ref="C39:F40"/>
    <mergeCell ref="D37:F37"/>
    <mergeCell ref="M37:O37"/>
    <mergeCell ref="V37:X37"/>
    <mergeCell ref="K42:U5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EB86D-D8AD-4C45-81C5-D1ACBCC393F4}">
  <sheetPr codeName="Feuil2"/>
  <dimension ref="C3:X46"/>
  <sheetViews>
    <sheetView zoomScale="70" zoomScaleNormal="70" workbookViewId="0">
      <selection activeCell="AC12" sqref="AC12"/>
    </sheetView>
  </sheetViews>
  <sheetFormatPr defaultColWidth="9.109375" defaultRowHeight="14.4" x14ac:dyDescent="0.3"/>
  <cols>
    <col min="4" max="4" width="10.44140625" customWidth="1"/>
    <col min="5" max="5" width="10.33203125" bestFit="1" customWidth="1"/>
    <col min="6" max="6" width="13.88671875" bestFit="1" customWidth="1"/>
    <col min="12" max="12" width="9.109375" bestFit="1" customWidth="1"/>
    <col min="13" max="14" width="10.44140625" bestFit="1" customWidth="1"/>
    <col min="15" max="15" width="9.109375" bestFit="1" customWidth="1"/>
    <col min="21" max="21" width="9.109375" bestFit="1" customWidth="1"/>
    <col min="22" max="22" width="10.44140625" bestFit="1" customWidth="1"/>
    <col min="23" max="23" width="12.88671875" bestFit="1" customWidth="1"/>
    <col min="24" max="24" width="9.109375" customWidth="1"/>
  </cols>
  <sheetData>
    <row r="3" spans="3:24" x14ac:dyDescent="0.3">
      <c r="C3" s="12" t="s">
        <v>1</v>
      </c>
      <c r="D3" s="12"/>
      <c r="E3" s="12"/>
      <c r="F3" s="12"/>
      <c r="L3" s="13" t="s">
        <v>13</v>
      </c>
      <c r="M3" s="13"/>
      <c r="N3" s="13"/>
      <c r="O3" s="13"/>
      <c r="U3" s="10" t="s">
        <v>14</v>
      </c>
      <c r="V3" s="10"/>
      <c r="W3" s="10"/>
      <c r="X3" s="10"/>
    </row>
    <row r="5" spans="3:24" x14ac:dyDescent="0.3">
      <c r="D5" s="1" t="s">
        <v>0</v>
      </c>
      <c r="E5" t="s">
        <v>8</v>
      </c>
      <c r="M5" s="1" t="s">
        <v>0</v>
      </c>
      <c r="N5" t="s">
        <v>9</v>
      </c>
      <c r="V5" s="1" t="s">
        <v>0</v>
      </c>
      <c r="W5" t="s">
        <v>11</v>
      </c>
    </row>
    <row r="6" spans="3:24" x14ac:dyDescent="0.3">
      <c r="D6" s="1" t="s">
        <v>2</v>
      </c>
      <c r="E6" t="s">
        <v>3</v>
      </c>
      <c r="M6" s="1" t="s">
        <v>2</v>
      </c>
      <c r="N6" t="s">
        <v>10</v>
      </c>
      <c r="V6" s="1" t="s">
        <v>2</v>
      </c>
      <c r="W6" t="s">
        <v>12</v>
      </c>
    </row>
    <row r="8" spans="3:24" ht="30" customHeight="1" x14ac:dyDescent="0.3">
      <c r="C8" s="6" t="s">
        <v>16</v>
      </c>
      <c r="D8" s="6"/>
      <c r="E8" s="6"/>
      <c r="F8" s="6"/>
      <c r="L8" s="14" t="s">
        <v>16</v>
      </c>
      <c r="M8" s="14"/>
      <c r="N8" s="14"/>
      <c r="O8" s="14"/>
      <c r="U8" s="11" t="s">
        <v>16</v>
      </c>
      <c r="V8" s="11"/>
      <c r="W8" s="11"/>
      <c r="X8" s="11"/>
    </row>
    <row r="10" spans="3:24" x14ac:dyDescent="0.3">
      <c r="C10" s="3" t="s">
        <v>4</v>
      </c>
      <c r="D10" s="3" t="s">
        <v>5</v>
      </c>
      <c r="E10" s="3" t="s">
        <v>6</v>
      </c>
      <c r="F10" s="3" t="s">
        <v>7</v>
      </c>
      <c r="L10" s="3" t="s">
        <v>4</v>
      </c>
      <c r="M10" s="3" t="s">
        <v>5</v>
      </c>
      <c r="N10" s="3" t="s">
        <v>6</v>
      </c>
      <c r="O10" s="3" t="s">
        <v>7</v>
      </c>
      <c r="U10" s="3" t="s">
        <v>4</v>
      </c>
      <c r="V10" s="3" t="s">
        <v>5</v>
      </c>
      <c r="W10" s="3" t="s">
        <v>6</v>
      </c>
      <c r="X10" s="3" t="s">
        <v>7</v>
      </c>
    </row>
    <row r="11" spans="3:24" x14ac:dyDescent="0.3">
      <c r="C11" s="2">
        <v>2</v>
      </c>
      <c r="D11" s="2">
        <v>10</v>
      </c>
      <c r="E11" s="2" cm="1">
        <f t="array" ref="E11:F11">ResoudreGenerale(D11,C11,2,1,6,1,2,3)</f>
        <v>1.75</v>
      </c>
      <c r="F11" s="2">
        <v>0.625</v>
      </c>
      <c r="L11" s="2">
        <v>2</v>
      </c>
      <c r="M11" s="2">
        <v>10</v>
      </c>
      <c r="N11" s="2" cm="1">
        <f t="array" ref="N11:O11">ResoudreGenerale(M11,L11,6,3,96,2,3,56)</f>
        <v>10.333333333333334</v>
      </c>
      <c r="O11" s="2">
        <v>11.777777777777777</v>
      </c>
      <c r="U11" s="2">
        <v>2</v>
      </c>
      <c r="V11" s="2">
        <v>10</v>
      </c>
      <c r="W11" s="2" cm="1">
        <f t="array" ref="W11:X11">ResoudreGenerale(V11,U11,5,3,179,7,10,355)</f>
        <v>27.015999999999998</v>
      </c>
      <c r="X11" s="2">
        <v>16.588799999999999</v>
      </c>
    </row>
    <row r="12" spans="3:24" x14ac:dyDescent="0.3">
      <c r="C12" s="2">
        <v>4</v>
      </c>
      <c r="D12" s="2">
        <v>10</v>
      </c>
      <c r="E12" s="2" cm="1">
        <f t="array" ref="E12:F12">ResoudreGenerale(D12,C12,2,1,6,1,2,3)</f>
        <v>2.921875</v>
      </c>
      <c r="F12" s="2">
        <v>3.90625E-2</v>
      </c>
      <c r="L12" s="2">
        <v>4</v>
      </c>
      <c r="M12" s="2">
        <v>10</v>
      </c>
      <c r="N12" s="2" cm="1">
        <f t="array" ref="N12:O12">ResoudreGenerale(M12,L12,6,3,96,2,3,56)</f>
        <v>10.037037037037038</v>
      </c>
      <c r="O12" s="2">
        <v>11.975308641975309</v>
      </c>
      <c r="U12" s="2">
        <v>4</v>
      </c>
      <c r="V12" s="2">
        <v>10</v>
      </c>
      <c r="W12" s="2" cm="1">
        <f t="array" ref="W12:X12">ResoudreGenerale(V12,U12,5,3,179,7,10,355)</f>
        <v>25.355622399999998</v>
      </c>
      <c r="X12" s="2">
        <v>17.751064320000001</v>
      </c>
    </row>
    <row r="13" spans="3:24" x14ac:dyDescent="0.3">
      <c r="C13" s="2">
        <v>6</v>
      </c>
      <c r="D13" s="2">
        <v>10</v>
      </c>
      <c r="E13" s="2" cm="1">
        <f t="array" ref="E13:F13">ResoudreGenerale(D13,C13,2,1,6,1,2,3)</f>
        <v>2.9951171875</v>
      </c>
      <c r="F13" s="2">
        <v>2.44140625E-3</v>
      </c>
      <c r="L13" s="2">
        <v>6</v>
      </c>
      <c r="M13" s="2">
        <v>10</v>
      </c>
      <c r="N13" s="2" cm="1">
        <f t="array" ref="N13:O13">ResoudreGenerale(M13,L13,6,3,96,2,3,56)</f>
        <v>10.004115226337449</v>
      </c>
      <c r="O13" s="2">
        <v>11.997256515775035</v>
      </c>
      <c r="U13" s="2">
        <v>6</v>
      </c>
      <c r="V13" s="2">
        <v>10</v>
      </c>
      <c r="W13" s="2" cm="1">
        <f t="array" ref="W13:X13">ResoudreGenerale(V13,U13,5,3,179,7,10,355)</f>
        <v>25.062731791360001</v>
      </c>
      <c r="X13" s="2">
        <v>17.956087746047999</v>
      </c>
    </row>
    <row r="14" spans="3:24" x14ac:dyDescent="0.3">
      <c r="C14" s="2">
        <v>10</v>
      </c>
      <c r="D14" s="2">
        <v>10</v>
      </c>
      <c r="E14" s="2" cm="1">
        <f t="array" ref="E14:F14">ResoudreGenerale(D14,C14,2,1,6,1,2,3)</f>
        <v>2.9999809265136719</v>
      </c>
      <c r="F14" s="2">
        <v>9.5367431640625E-6</v>
      </c>
      <c r="L14" s="2">
        <v>10</v>
      </c>
      <c r="M14" s="2">
        <v>10</v>
      </c>
      <c r="N14" s="2" cm="1">
        <f t="array" ref="N14:O14">ResoudreGenerale(M14,L14,6,3,96,2,3,56)</f>
        <v>10.000050805263426</v>
      </c>
      <c r="O14" s="2">
        <v>11.999966129824381</v>
      </c>
      <c r="U14" s="2">
        <v>10</v>
      </c>
      <c r="V14" s="2">
        <v>10</v>
      </c>
      <c r="W14" s="2" cm="1">
        <f t="array" ref="W14:X14">ResoudreGenerale(V14,U14,5,3,179,7,10,355)</f>
        <v>25.001952022642477</v>
      </c>
      <c r="X14" s="2">
        <v>17.998633584150266</v>
      </c>
    </row>
    <row r="15" spans="3:24" x14ac:dyDescent="0.3">
      <c r="C15" s="2">
        <v>20</v>
      </c>
      <c r="D15" s="2">
        <v>10</v>
      </c>
      <c r="E15" s="2" cm="1">
        <f t="array" ref="E15:F15">ResoudreGenerale(D15,C15,2,1,6,1,2,3)</f>
        <v>2.9999999999818101</v>
      </c>
      <c r="F15" s="2">
        <v>9.0949470177292824E-12</v>
      </c>
      <c r="L15" s="2">
        <v>20</v>
      </c>
      <c r="M15" s="2">
        <v>10</v>
      </c>
      <c r="N15" s="2" cm="1">
        <f t="array" ref="N15:O15">ResoudreGenerale(M15,L15,6,3,96,2,3,56)</f>
        <v>10.000000000860391</v>
      </c>
      <c r="O15" s="2">
        <v>11.999999999426407</v>
      </c>
      <c r="U15" s="2">
        <v>20</v>
      </c>
      <c r="V15" s="2">
        <v>10</v>
      </c>
      <c r="W15" s="2" cm="1">
        <f t="array" ref="W15:X15">ResoudreGenerale(V15,U15,5,3,179,7,10,355)</f>
        <v>25.000000333409339</v>
      </c>
      <c r="X15" s="2">
        <v>17.999999766613463</v>
      </c>
    </row>
    <row r="16" spans="3:24" x14ac:dyDescent="0.3">
      <c r="C16" s="2">
        <v>30</v>
      </c>
      <c r="D16" s="2">
        <v>10</v>
      </c>
      <c r="E16" s="2" cm="1">
        <f t="array" ref="E16:F16">ResoudreGenerale(D16,C16,2,1,6,1,2,3)</f>
        <v>3</v>
      </c>
      <c r="F16" s="2">
        <v>0</v>
      </c>
      <c r="L16" s="2">
        <v>30</v>
      </c>
      <c r="M16" s="2">
        <v>10</v>
      </c>
      <c r="N16" s="2" cm="1">
        <f t="array" ref="N16:O16">ResoudreGenerale(M16,L16,6,3,96,2,3,56)</f>
        <v>10.000000000000014</v>
      </c>
      <c r="O16" s="2">
        <v>11.999999999999991</v>
      </c>
      <c r="U16" s="2">
        <v>30</v>
      </c>
      <c r="V16" s="2">
        <v>10</v>
      </c>
      <c r="W16" s="2" cm="1">
        <f t="array" ref="W16:X16">ResoudreGenerale(V16,U16,5,3,179,7,10,355)</f>
        <v>25.000000000056946</v>
      </c>
      <c r="X16" s="2">
        <v>17.999999999960139</v>
      </c>
    </row>
    <row r="17" spans="3:24" x14ac:dyDescent="0.3">
      <c r="C17" s="2">
        <v>100</v>
      </c>
      <c r="D17" s="2">
        <v>10</v>
      </c>
      <c r="E17" s="2" cm="1">
        <f t="array" ref="E17:F17">ResoudreGenerale(D17,C17,2,1,6,1,2,3)</f>
        <v>3</v>
      </c>
      <c r="F17" s="2">
        <v>0</v>
      </c>
      <c r="L17" s="2">
        <v>100</v>
      </c>
      <c r="M17" s="2">
        <v>10</v>
      </c>
      <c r="N17" s="2" cm="1">
        <f t="array" ref="N17:O17">ResoudreGenerale(M17,L17,6,3,96,2,3,56)</f>
        <v>10</v>
      </c>
      <c r="O17" s="2">
        <v>12</v>
      </c>
      <c r="U17" s="2">
        <v>100</v>
      </c>
      <c r="V17" s="2">
        <v>10</v>
      </c>
      <c r="W17" s="2" cm="1">
        <f t="array" ref="W17:X17">ResoudreGenerale(V17,U17,5,3,179,7,10,355)</f>
        <v>25.000000000000007</v>
      </c>
      <c r="X17" s="2">
        <v>17.999999999999993</v>
      </c>
    </row>
    <row r="18" spans="3:24" x14ac:dyDescent="0.3">
      <c r="C18" s="2"/>
      <c r="E18" s="2"/>
      <c r="F18" s="2"/>
      <c r="L18" s="2"/>
      <c r="N18" s="2"/>
      <c r="O18" s="2"/>
      <c r="U18" s="2"/>
      <c r="W18" s="2"/>
      <c r="X18" s="2"/>
    </row>
    <row r="19" spans="3:24" x14ac:dyDescent="0.3">
      <c r="E19" s="2"/>
      <c r="N19" s="2"/>
      <c r="O19" s="2"/>
    </row>
    <row r="20" spans="3:24" x14ac:dyDescent="0.3">
      <c r="E20" s="2"/>
      <c r="N20" s="2"/>
      <c r="O20" s="2"/>
    </row>
    <row r="21" spans="3:24" x14ac:dyDescent="0.3">
      <c r="E21" s="2"/>
      <c r="N21" s="2"/>
      <c r="O21" s="2"/>
    </row>
    <row r="22" spans="3:24" x14ac:dyDescent="0.3">
      <c r="N22" s="2"/>
      <c r="O22" s="2"/>
    </row>
    <row r="37" spans="10:19" ht="15" customHeight="1" x14ac:dyDescent="0.3">
      <c r="J37" s="9" t="s">
        <v>22</v>
      </c>
      <c r="K37" s="9"/>
      <c r="L37" s="9"/>
      <c r="M37" s="9"/>
      <c r="N37" s="9"/>
      <c r="O37" s="9"/>
      <c r="P37" s="9"/>
      <c r="Q37" s="9"/>
      <c r="R37" s="9"/>
      <c r="S37" s="9"/>
    </row>
    <row r="38" spans="10:19" x14ac:dyDescent="0.3">
      <c r="J38" s="9"/>
      <c r="K38" s="9"/>
      <c r="L38" s="9"/>
      <c r="M38" s="9"/>
      <c r="N38" s="9"/>
      <c r="O38" s="9"/>
      <c r="P38" s="9"/>
      <c r="Q38" s="9"/>
      <c r="R38" s="9"/>
      <c r="S38" s="9"/>
    </row>
    <row r="39" spans="10:19" x14ac:dyDescent="0.3">
      <c r="J39" s="9"/>
      <c r="K39" s="9"/>
      <c r="L39" s="9"/>
      <c r="M39" s="9"/>
      <c r="N39" s="9"/>
      <c r="O39" s="9"/>
      <c r="P39" s="9"/>
      <c r="Q39" s="9"/>
      <c r="R39" s="9"/>
      <c r="S39" s="9"/>
    </row>
    <row r="40" spans="10:19" x14ac:dyDescent="0.3">
      <c r="J40" s="9"/>
      <c r="K40" s="9"/>
      <c r="L40" s="9"/>
      <c r="M40" s="9"/>
      <c r="N40" s="9"/>
      <c r="O40" s="9"/>
      <c r="P40" s="9"/>
      <c r="Q40" s="9"/>
      <c r="R40" s="9"/>
      <c r="S40" s="9"/>
    </row>
    <row r="41" spans="10:19" x14ac:dyDescent="0.3">
      <c r="J41" s="9"/>
      <c r="K41" s="9"/>
      <c r="L41" s="9"/>
      <c r="M41" s="9"/>
      <c r="N41" s="9"/>
      <c r="O41" s="9"/>
      <c r="P41" s="9"/>
      <c r="Q41" s="9"/>
      <c r="R41" s="9"/>
      <c r="S41" s="9"/>
    </row>
    <row r="42" spans="10:19" x14ac:dyDescent="0.3">
      <c r="J42" s="9"/>
      <c r="K42" s="9"/>
      <c r="L42" s="9"/>
      <c r="M42" s="9"/>
      <c r="N42" s="9"/>
      <c r="O42" s="9"/>
      <c r="P42" s="9"/>
      <c r="Q42" s="9"/>
      <c r="R42" s="9"/>
      <c r="S42" s="9"/>
    </row>
    <row r="43" spans="10:19" x14ac:dyDescent="0.3">
      <c r="J43" s="9"/>
      <c r="K43" s="9"/>
      <c r="L43" s="9"/>
      <c r="M43" s="9"/>
      <c r="N43" s="9"/>
      <c r="O43" s="9"/>
      <c r="P43" s="9"/>
      <c r="Q43" s="9"/>
      <c r="R43" s="9"/>
      <c r="S43" s="9"/>
    </row>
    <row r="44" spans="10:19" x14ac:dyDescent="0.3">
      <c r="J44" s="9"/>
      <c r="K44" s="9"/>
      <c r="L44" s="9"/>
      <c r="M44" s="9"/>
      <c r="N44" s="9"/>
      <c r="O44" s="9"/>
      <c r="P44" s="9"/>
      <c r="Q44" s="9"/>
      <c r="R44" s="9"/>
      <c r="S44" s="9"/>
    </row>
    <row r="45" spans="10:19" x14ac:dyDescent="0.3">
      <c r="J45" s="9"/>
      <c r="K45" s="9"/>
      <c r="L45" s="9"/>
      <c r="M45" s="9"/>
      <c r="N45" s="9"/>
      <c r="O45" s="9"/>
      <c r="P45" s="9"/>
      <c r="Q45" s="9"/>
      <c r="R45" s="9"/>
      <c r="S45" s="9"/>
    </row>
    <row r="46" spans="10:19" x14ac:dyDescent="0.3">
      <c r="J46" s="9"/>
      <c r="K46" s="9"/>
      <c r="L46" s="9"/>
      <c r="M46" s="9"/>
      <c r="N46" s="9"/>
      <c r="O46" s="9"/>
      <c r="P46" s="9"/>
      <c r="Q46" s="9"/>
      <c r="R46" s="9"/>
      <c r="S46" s="9"/>
    </row>
  </sheetData>
  <mergeCells count="7">
    <mergeCell ref="J37:S46"/>
    <mergeCell ref="C3:F3"/>
    <mergeCell ref="L3:O3"/>
    <mergeCell ref="U3:X3"/>
    <mergeCell ref="C8:F8"/>
    <mergeCell ref="L8:O8"/>
    <mergeCell ref="U8:X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70F95FB034E414DAF29374D15F9CAB3" ma:contentTypeVersion="4" ma:contentTypeDescription="Create a new document." ma:contentTypeScope="" ma:versionID="08d3fcc61713c5b291307b2697240c78">
  <xsd:schema xmlns:xsd="http://www.w3.org/2001/XMLSchema" xmlns:xs="http://www.w3.org/2001/XMLSchema" xmlns:p="http://schemas.microsoft.com/office/2006/metadata/properties" xmlns:ns2="c3f1f311-484a-4ad4-8db9-66cf8f63de22" targetNamespace="http://schemas.microsoft.com/office/2006/metadata/properties" ma:root="true" ma:fieldsID="b021da7829f29656a04e29d4138f2923" ns2:_="">
    <xsd:import namespace="c3f1f311-484a-4ad4-8db9-66cf8f63de2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3f1f311-484a-4ad4-8db9-66cf8f63de2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2ADB58F-F9E0-4C3C-B69E-7B246E1D717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3f1f311-484a-4ad4-8db9-66cf8f63de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6671FF-2496-495F-A673-557643D6726C}">
  <ds:schemaRefs>
    <ds:schemaRef ds:uri="http://schemas.microsoft.com/sharepoint/v3/contenttype/forms"/>
  </ds:schemaRefs>
</ds:datastoreItem>
</file>

<file path=customXml/itemProps3.xml><?xml version="1.0" encoding="utf-8"?>
<ds:datastoreItem xmlns:ds="http://schemas.openxmlformats.org/officeDocument/2006/customXml" ds:itemID="{4ABA9FBE-A49C-4727-BDA8-B52565A09723}">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3f1f311-484a-4ad4-8db9-66cf8f63de22"/>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Présentation</vt:lpstr>
      <vt:lpstr>y0</vt:lpstr>
      <vt:lpstr>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Alex-Anne Favreau</dc:creator>
  <cp:keywords/>
  <dc:description/>
  <cp:lastModifiedBy>Julia Krumgant</cp:lastModifiedBy>
  <cp:revision/>
  <dcterms:created xsi:type="dcterms:W3CDTF">2024-02-01T15:14:20Z</dcterms:created>
  <dcterms:modified xsi:type="dcterms:W3CDTF">2024-02-04T21:01:51Z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0x010100E70F95FB034E414DAF29374D15F9CAB3</vt:lpwstr>
  </property>
</Properties>
</file>